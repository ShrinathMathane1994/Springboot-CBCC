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ree\Downloads\"/>
    </mc:Choice>
  </mc:AlternateContent>
  <xr:revisionPtr revIDLastSave="0" documentId="13_ncr:1_{2BAB0D9C-68F1-4C1A-807E-98BFECF2F4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d-to-End Master Plan" sheetId="1" r:id="rId1"/>
    <sheet name="Holidays" sheetId="2" r:id="rId2"/>
  </sheets>
  <calcPr calcId="191029"/>
</workbook>
</file>

<file path=xl/calcChain.xml><?xml version="1.0" encoding="utf-8"?>
<calcChain xmlns="http://schemas.openxmlformats.org/spreadsheetml/2006/main">
  <c r="H107" i="1" l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<sst xmlns="http://schemas.openxmlformats.org/spreadsheetml/2006/main" count="669" uniqueCount="177">
  <si>
    <t>Module</t>
  </si>
  <si>
    <t>Task</t>
  </si>
  <si>
    <t>Component</t>
  </si>
  <si>
    <t>Dependency</t>
  </si>
  <si>
    <t>Estimates (Days)</t>
  </si>
  <si>
    <t>Resource</t>
  </si>
  <si>
    <t>Planned Start Date</t>
  </si>
  <si>
    <t>Planned End Date</t>
  </si>
  <si>
    <t>Milestone</t>
  </si>
  <si>
    <t>All Modules</t>
  </si>
  <si>
    <t>Unified UI Wireframe &amp; UX Research</t>
  </si>
  <si>
    <t>UI</t>
  </si>
  <si>
    <t>Project Start</t>
  </si>
  <si>
    <t>UX Designer</t>
  </si>
  <si>
    <t>06-Jan-2026</t>
  </si>
  <si>
    <t>KT Sessions to New Resources</t>
  </si>
  <si>
    <t>Cross-Team</t>
  </si>
  <si>
    <t>UX Baseline Approved</t>
  </si>
  <si>
    <t>Leads (Backend/UI/QA)</t>
  </si>
  <si>
    <t>19-Jan-2026</t>
  </si>
  <si>
    <t>KT Completed</t>
  </si>
  <si>
    <t>Wireframe Review &amp; Sign-off</t>
  </si>
  <si>
    <t>UX + Stakeholders</t>
  </si>
  <si>
    <t>12-Jan-2026</t>
  </si>
  <si>
    <t>Module 1: API Connector Master</t>
  </si>
  <si>
    <t>System Analysis</t>
  </si>
  <si>
    <t>Backend</t>
  </si>
  <si>
    <t>Development Kickoff</t>
  </si>
  <si>
    <t>Backend Architect</t>
  </si>
  <si>
    <t>03-Feb-2026</t>
  </si>
  <si>
    <t>Connector Module Implementation</t>
  </si>
  <si>
    <t>Backend Team</t>
  </si>
  <si>
    <t>Token Logic Implementation</t>
  </si>
  <si>
    <t>Connector Model &amp; Token Logic</t>
  </si>
  <si>
    <t>API Connector UI</t>
  </si>
  <si>
    <t>UI Team</t>
  </si>
  <si>
    <t>QA Test Scenario &amp; Data Preparation</t>
  </si>
  <si>
    <t>QA</t>
  </si>
  <si>
    <t>QA Team</t>
  </si>
  <si>
    <t>QA Functional &amp; Integration Testing</t>
  </si>
  <si>
    <t>Backend Bug Fixing</t>
  </si>
  <si>
    <t>QA Functional Testing</t>
  </si>
  <si>
    <t>UI Bug Fixing</t>
  </si>
  <si>
    <t>QA Bug Retest &amp; Stabilization</t>
  </si>
  <si>
    <t>Backend Bug Fixing &amp; UI Bug Fixing</t>
  </si>
  <si>
    <t>Module 2 Complete</t>
  </si>
  <si>
    <t>Module 2: DB Connector Master</t>
  </si>
  <si>
    <t>01-Feb-2026</t>
  </si>
  <si>
    <t>DB Connector Backend &amp; Pooling</t>
  </si>
  <si>
    <t>DB Connector UI</t>
  </si>
  <si>
    <t>15-Feb-2026</t>
  </si>
  <si>
    <t>QA Test Case Design &amp; Query Validation</t>
  </si>
  <si>
    <t>QA Functional &amp; Data Accuracy Testing</t>
  </si>
  <si>
    <t>21-Feb-2026</t>
  </si>
  <si>
    <t>01-Mar-2026</t>
  </si>
  <si>
    <t>QA Bug Retest &amp; Regression</t>
  </si>
  <si>
    <t>Module 3 Complete</t>
  </si>
  <si>
    <t>Module 3: Test Case Management</t>
  </si>
  <si>
    <t>Test Case CRUD &amp; Versioning APIs</t>
  </si>
  <si>
    <t>10-Feb-2026</t>
  </si>
  <si>
    <t>Test Case Management UI</t>
  </si>
  <si>
    <t>20-Feb-2026</t>
  </si>
  <si>
    <t>QA Test Case Design &amp; Rule Matrix</t>
  </si>
  <si>
    <t>05-Mar-2026</t>
  </si>
  <si>
    <t>QA Functional &amp; UI Validation</t>
  </si>
  <si>
    <t>11-Mar-2026</t>
  </si>
  <si>
    <t>21-Mar-2026</t>
  </si>
  <si>
    <t>QA Bug Retest &amp; Version Validation</t>
  </si>
  <si>
    <t>Test Case Creation Ready</t>
  </si>
  <si>
    <t>Module 4: Bulk Test Case Import</t>
  </si>
  <si>
    <t>Import Template Design (CSV/Excel)</t>
  </si>
  <si>
    <t>Backend + QA</t>
  </si>
  <si>
    <t>01-Apr-2026</t>
  </si>
  <si>
    <t>Template Finalized</t>
  </si>
  <si>
    <t>Bulk Import Parser &amp; Validation</t>
  </si>
  <si>
    <t>06-Apr-2026</t>
  </si>
  <si>
    <t>Bulk Import UI</t>
  </si>
  <si>
    <t>05-Apr-2026</t>
  </si>
  <si>
    <t>QA Template Review &amp; Test Data Prep</t>
  </si>
  <si>
    <t>03-Apr-2026</t>
  </si>
  <si>
    <t>QA Bulk Import Functional Testing</t>
  </si>
  <si>
    <t>19-Apr-2026</t>
  </si>
  <si>
    <t>25-Apr-2026</t>
  </si>
  <si>
    <t>QA Bug Retest &amp; Partial Success Validation</t>
  </si>
  <si>
    <t>Bulk Import Ready</t>
  </si>
  <si>
    <t>Module 5: Test Execution Engine</t>
  </si>
  <si>
    <t>Execution Engine Core Services</t>
  </si>
  <si>
    <t>Module 4 Complete</t>
  </si>
  <si>
    <t>Execution Trigger &amp; Status UI</t>
  </si>
  <si>
    <t>15-Mar-2026</t>
  </si>
  <si>
    <t>QA Test Scenario Design (Execution Flow)</t>
  </si>
  <si>
    <t>20-Mar-2026</t>
  </si>
  <si>
    <t>QA Execution &amp; Parallel Run Testing</t>
  </si>
  <si>
    <t>11-Apr-2026</t>
  </si>
  <si>
    <t>QA Bug Retest &amp; Stability Validation</t>
  </si>
  <si>
    <t>Execution Engine Stable</t>
  </si>
  <si>
    <t>Module 6: Test Pack &amp; Scheduling</t>
  </si>
  <si>
    <t>Scheduler &amp; Pack Mapping APIs</t>
  </si>
  <si>
    <t>Test Pack UI &amp; Scheduling</t>
  </si>
  <si>
    <t>QA Scheduling Scenario Design</t>
  </si>
  <si>
    <t>10-Apr-2026</t>
  </si>
  <si>
    <t>QA Schedule Execution Testing</t>
  </si>
  <si>
    <t>16-Apr-2026</t>
  </si>
  <si>
    <t>21-Apr-2026</t>
  </si>
  <si>
    <t>QA Bug Retest &amp; Retry Validation</t>
  </si>
  <si>
    <t>Scheduling Ready</t>
  </si>
  <si>
    <t>Module 8: Validation Engine</t>
  </si>
  <si>
    <t>Sample Input &amp; Expected Output File Preparation (UK Region)</t>
  </si>
  <si>
    <t>HSBC SME Input Dependency</t>
  </si>
  <si>
    <t>HSBC + QA Team</t>
  </si>
  <si>
    <t>05-May-2026</t>
  </si>
  <si>
    <t>Validation Rule Engine &amp; DB Compare</t>
  </si>
  <si>
    <t>QA Rule Coverage &amp; Expected Data Prep</t>
  </si>
  <si>
    <t>QA Validation Accuracy Testing</t>
  </si>
  <si>
    <t>01-May-2026</t>
  </si>
  <si>
    <t>07-May-2026</t>
  </si>
  <si>
    <t>QA Bug Retest &amp; Rule Stabilization</t>
  </si>
  <si>
    <t>Validation Engine Ready</t>
  </si>
  <si>
    <t>Module 8: HTML Report &amp; Audit</t>
  </si>
  <si>
    <t>HTML Report &amp; Audit APIs</t>
  </si>
  <si>
    <t>15-Apr-2026</t>
  </si>
  <si>
    <t>Report View UI &amp; Export</t>
  </si>
  <si>
    <t>18-Apr-2026</t>
  </si>
  <si>
    <t>QA Report Structure &amp; Data Mapping Review</t>
  </si>
  <si>
    <t>QA Report Functional &amp; Export Testing</t>
  </si>
  <si>
    <t>QA Bug Retest &amp; Audit Validation</t>
  </si>
  <si>
    <t>Reporting Ready</t>
  </si>
  <si>
    <t>Module 9: Execution Dashboard</t>
  </si>
  <si>
    <t>Execution Aggregation APIs</t>
  </si>
  <si>
    <t>20-Apr-2026</t>
  </si>
  <si>
    <t>Execution Dashboard UI</t>
  </si>
  <si>
    <t>QA Dashboard Metric Validation</t>
  </si>
  <si>
    <t>QA Dashboard UI &amp; Data Testing</t>
  </si>
  <si>
    <t>06-May-2026</t>
  </si>
  <si>
    <t>11-May-2026</t>
  </si>
  <si>
    <t>QA Bug Retest &amp; Trend Validation</t>
  </si>
  <si>
    <t>Dashboard Ready</t>
  </si>
  <si>
    <t>Module 10: Test Coverage Dashboard</t>
  </si>
  <si>
    <t>Coverage Calculation APIs</t>
  </si>
  <si>
    <t>15-May-2026</t>
  </si>
  <si>
    <t>Coverage Dashboard UI</t>
  </si>
  <si>
    <t>QA Coverage Rule Mapping Review</t>
  </si>
  <si>
    <t>QA Coverage Accuracy Testing</t>
  </si>
  <si>
    <t>QA Bug Retest &amp; Coverage Stabilization</t>
  </si>
  <si>
    <t>Coverage Ready</t>
  </si>
  <si>
    <t>Module 11: Health Check &amp; System Monitoring</t>
  </si>
  <si>
    <t>Health Check API Design &amp; Contract</t>
  </si>
  <si>
    <t>Service-Level Health Check APIs (API/DB/Token)</t>
  </si>
  <si>
    <t>Health Status UI (Optional / Admin View)</t>
  </si>
  <si>
    <t>QA Health Scenario Design</t>
  </si>
  <si>
    <t>QA Health Check Validation</t>
  </si>
  <si>
    <t>Health Check Ready</t>
  </si>
  <si>
    <t>Module 12: User Management &amp; Security</t>
  </si>
  <si>
    <t>Auth Strategy &amp; RBAC Design</t>
  </si>
  <si>
    <t>Auth APIs &amp; Middleware</t>
  </si>
  <si>
    <t>User / Role / Login UI</t>
  </si>
  <si>
    <t>QA Test Scenario &amp; Test Case Design</t>
  </si>
  <si>
    <t>Module 1 Complete</t>
  </si>
  <si>
    <t>Module 12: Configuration Master Data</t>
  </si>
  <si>
    <t>Master Data CRUD &amp; RBAC APIs</t>
  </si>
  <si>
    <t>Configuration Screens UI</t>
  </si>
  <si>
    <t>QA Master Data Scenario Design</t>
  </si>
  <si>
    <t>QA CRUD &amp; RBAC Validation</t>
  </si>
  <si>
    <t>Configuration Ready</t>
  </si>
  <si>
    <t>15-Jan-2026</t>
  </si>
  <si>
    <t>End-to-End Regression, Bug Retest &amp; Go-Live Validation</t>
  </si>
  <si>
    <t>18-May-2026</t>
  </si>
  <si>
    <t>Smoke Test &amp; System Go-Live</t>
  </si>
  <si>
    <t>Pre-Regression Smoke Test using Health Check APIs</t>
  </si>
  <si>
    <t>Smoke Test Passed</t>
  </si>
  <si>
    <t>Cross-Module Regression Testing (Post Module 9)</t>
  </si>
  <si>
    <t>Module 9 Complete</t>
  </si>
  <si>
    <t>Regression Complete</t>
  </si>
  <si>
    <t>Holiday Date</t>
  </si>
  <si>
    <t>01-Jan-2026</t>
  </si>
  <si>
    <t>26-Jan-2026</t>
  </si>
  <si>
    <t>04-Mar-2026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</si>
</sst>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workbookViewId="0">
      <selection activeCell="B15" sqref="B15"/>
    </sheetView>
  </sheetViews>
  <sheetFormatPr defaultRowHeight="14.4" x14ac:dyDescent="0.3"/>
  <cols>
    <col min="1" max="1" width="39.5546875" bestFit="1" customWidth="1"/>
    <col min="2" max="2" width="51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6</v>
      </c>
      <c r="F2" t="s">
        <v>13</v>
      </c>
      <c r="G2" t="s">
        <v>14</v>
      </c>
      <c r="H2">
        <f>WORKDAY(G2,E2-1,Holidays!$A$2:$A$5)</f>
        <v>46035</v>
      </c>
    </row>
    <row r="3" spans="1:9" x14ac:dyDescent="0.3">
      <c r="A3" t="s">
        <v>9</v>
      </c>
      <c r="B3" t="s">
        <v>15</v>
      </c>
      <c r="C3" t="s">
        <v>16</v>
      </c>
      <c r="D3" t="s">
        <v>17</v>
      </c>
      <c r="E3">
        <v>5</v>
      </c>
      <c r="F3" t="s">
        <v>18</v>
      </c>
      <c r="G3" t="s">
        <v>19</v>
      </c>
      <c r="H3">
        <f>WORKDAY(G3,E3-1,Holidays!$A$2:$A$5)</f>
        <v>46045</v>
      </c>
      <c r="I3" t="s">
        <v>20</v>
      </c>
    </row>
    <row r="4" spans="1:9" x14ac:dyDescent="0.3">
      <c r="A4" t="s">
        <v>9</v>
      </c>
      <c r="B4" t="s">
        <v>21</v>
      </c>
      <c r="C4" t="s">
        <v>11</v>
      </c>
      <c r="D4" t="s">
        <v>10</v>
      </c>
      <c r="E4">
        <v>4</v>
      </c>
      <c r="F4" t="s">
        <v>22</v>
      </c>
      <c r="G4" t="s">
        <v>23</v>
      </c>
      <c r="H4">
        <f>WORKDAY(G4,E4-1,Holidays!$A$2:$A$5)</f>
        <v>46037</v>
      </c>
      <c r="I4" t="s">
        <v>17</v>
      </c>
    </row>
    <row r="5" spans="1:9" x14ac:dyDescent="0.3">
      <c r="A5" t="s">
        <v>24</v>
      </c>
      <c r="B5" t="s">
        <v>25</v>
      </c>
      <c r="C5" t="s">
        <v>26</v>
      </c>
      <c r="D5" t="s">
        <v>27</v>
      </c>
      <c r="E5">
        <v>3</v>
      </c>
      <c r="F5" t="s">
        <v>28</v>
      </c>
      <c r="G5" t="s">
        <v>29</v>
      </c>
      <c r="H5">
        <f>WORKDAY(G5,E5-1,Holidays!$A$2:$A$5)</f>
        <v>46058</v>
      </c>
    </row>
    <row r="6" spans="1:9" x14ac:dyDescent="0.3">
      <c r="A6" t="s">
        <v>24</v>
      </c>
      <c r="B6" t="s">
        <v>30</v>
      </c>
      <c r="C6" t="s">
        <v>26</v>
      </c>
      <c r="D6" t="s">
        <v>25</v>
      </c>
      <c r="E6">
        <v>5</v>
      </c>
      <c r="F6" t="s">
        <v>31</v>
      </c>
      <c r="G6" t="s">
        <v>29</v>
      </c>
      <c r="H6">
        <f>WORKDAY(G6,E6-1,Holidays!$A$2:$A$5)</f>
        <v>46062</v>
      </c>
    </row>
    <row r="7" spans="1:9" x14ac:dyDescent="0.3">
      <c r="A7" t="s">
        <v>24</v>
      </c>
      <c r="B7" t="s">
        <v>32</v>
      </c>
      <c r="C7" t="s">
        <v>26</v>
      </c>
      <c r="D7" t="s">
        <v>30</v>
      </c>
      <c r="E7">
        <v>4</v>
      </c>
      <c r="F7" t="s">
        <v>31</v>
      </c>
      <c r="G7" t="s">
        <v>29</v>
      </c>
      <c r="H7">
        <f>WORKDAY(G7,E7-1,Holidays!$A$2:$A$5)</f>
        <v>46059</v>
      </c>
    </row>
    <row r="8" spans="1:9" x14ac:dyDescent="0.3">
      <c r="A8" t="s">
        <v>24</v>
      </c>
      <c r="B8" t="s">
        <v>33</v>
      </c>
      <c r="C8" t="s">
        <v>26</v>
      </c>
      <c r="D8" t="s">
        <v>27</v>
      </c>
      <c r="E8">
        <v>14</v>
      </c>
      <c r="F8" t="s">
        <v>31</v>
      </c>
      <c r="G8" t="s">
        <v>29</v>
      </c>
      <c r="H8">
        <f>WORKDAY(G8,E8-1,Holidays!$A$2:$A$5)</f>
        <v>46073</v>
      </c>
    </row>
    <row r="9" spans="1:9" x14ac:dyDescent="0.3">
      <c r="A9" t="s">
        <v>24</v>
      </c>
      <c r="B9" t="s">
        <v>34</v>
      </c>
      <c r="C9" t="s">
        <v>11</v>
      </c>
      <c r="D9" t="s">
        <v>17</v>
      </c>
      <c r="E9">
        <v>12</v>
      </c>
      <c r="F9" t="s">
        <v>35</v>
      </c>
      <c r="G9" t="s">
        <v>29</v>
      </c>
      <c r="H9">
        <f>WORKDAY(G9,E9-1,Holidays!$A$2:$A$5)</f>
        <v>46071</v>
      </c>
    </row>
    <row r="10" spans="1:9" x14ac:dyDescent="0.3">
      <c r="A10" t="s">
        <v>24</v>
      </c>
      <c r="B10" t="s">
        <v>36</v>
      </c>
      <c r="C10" t="s">
        <v>37</v>
      </c>
      <c r="D10" t="s">
        <v>33</v>
      </c>
      <c r="E10">
        <v>4</v>
      </c>
      <c r="F10" t="s">
        <v>38</v>
      </c>
      <c r="G10" t="s">
        <v>29</v>
      </c>
      <c r="H10">
        <f>WORKDAY(G10,E10-1,Holidays!$A$2:$A$5)</f>
        <v>46059</v>
      </c>
    </row>
    <row r="11" spans="1:9" x14ac:dyDescent="0.3">
      <c r="A11" t="s">
        <v>24</v>
      </c>
      <c r="B11" t="s">
        <v>39</v>
      </c>
      <c r="C11" t="s">
        <v>37</v>
      </c>
      <c r="D11" t="s">
        <v>34</v>
      </c>
      <c r="E11">
        <v>6</v>
      </c>
      <c r="F11" t="s">
        <v>38</v>
      </c>
      <c r="G11" t="s">
        <v>29</v>
      </c>
      <c r="H11">
        <f>WORKDAY(G11,E11-1,Holidays!$A$2:$A$5)</f>
        <v>46063</v>
      </c>
    </row>
    <row r="12" spans="1:9" x14ac:dyDescent="0.3">
      <c r="A12" t="s">
        <v>24</v>
      </c>
      <c r="B12" t="s">
        <v>40</v>
      </c>
      <c r="C12" t="s">
        <v>26</v>
      </c>
      <c r="D12" t="s">
        <v>41</v>
      </c>
      <c r="E12">
        <v>3</v>
      </c>
      <c r="F12" t="s">
        <v>31</v>
      </c>
      <c r="G12" t="s">
        <v>29</v>
      </c>
      <c r="H12">
        <f>WORKDAY(G12,E12-1,Holidays!$A$2:$A$5)</f>
        <v>46058</v>
      </c>
    </row>
    <row r="13" spans="1:9" x14ac:dyDescent="0.3">
      <c r="A13" t="s">
        <v>24</v>
      </c>
      <c r="B13" t="s">
        <v>42</v>
      </c>
      <c r="C13" t="s">
        <v>11</v>
      </c>
      <c r="D13" t="s">
        <v>41</v>
      </c>
      <c r="E13">
        <v>2</v>
      </c>
      <c r="F13" t="s">
        <v>35</v>
      </c>
      <c r="G13" t="s">
        <v>29</v>
      </c>
      <c r="H13">
        <f>WORKDAY(G13,E13-1,Holidays!$A$2:$A$5)</f>
        <v>46057</v>
      </c>
    </row>
    <row r="14" spans="1:9" x14ac:dyDescent="0.3">
      <c r="A14" t="s">
        <v>24</v>
      </c>
      <c r="B14" t="s">
        <v>43</v>
      </c>
      <c r="C14" t="s">
        <v>37</v>
      </c>
      <c r="D14" t="s">
        <v>44</v>
      </c>
      <c r="E14">
        <v>2</v>
      </c>
      <c r="F14" t="s">
        <v>38</v>
      </c>
      <c r="G14" t="s">
        <v>29</v>
      </c>
      <c r="H14">
        <f>WORKDAY(G14,E14-1,Holidays!$A$2:$A$5)</f>
        <v>46057</v>
      </c>
      <c r="I14" t="s">
        <v>45</v>
      </c>
    </row>
    <row r="15" spans="1:9" x14ac:dyDescent="0.3">
      <c r="A15" t="s">
        <v>46</v>
      </c>
      <c r="B15" t="s">
        <v>25</v>
      </c>
      <c r="C15" t="s">
        <v>26</v>
      </c>
      <c r="D15" t="s">
        <v>27</v>
      </c>
      <c r="E15">
        <v>3</v>
      </c>
      <c r="F15" t="s">
        <v>28</v>
      </c>
      <c r="G15" t="s">
        <v>47</v>
      </c>
      <c r="H15">
        <f>WORKDAY(G15,E15-1,Holidays!$A$2:$A$5)</f>
        <v>46056</v>
      </c>
    </row>
    <row r="16" spans="1:9" x14ac:dyDescent="0.3">
      <c r="A16" t="s">
        <v>46</v>
      </c>
      <c r="B16" t="s">
        <v>30</v>
      </c>
      <c r="C16" t="s">
        <v>26</v>
      </c>
      <c r="D16" t="s">
        <v>25</v>
      </c>
      <c r="E16">
        <v>5</v>
      </c>
      <c r="F16" t="s">
        <v>31</v>
      </c>
      <c r="G16" t="s">
        <v>47</v>
      </c>
      <c r="H16">
        <f>WORKDAY(G16,E16-1,Holidays!$A$2:$A$5)</f>
        <v>46058</v>
      </c>
    </row>
    <row r="17" spans="1:9" x14ac:dyDescent="0.3">
      <c r="A17" t="s">
        <v>46</v>
      </c>
      <c r="B17" t="s">
        <v>32</v>
      </c>
      <c r="C17" t="s">
        <v>26</v>
      </c>
      <c r="D17" t="s">
        <v>30</v>
      </c>
      <c r="E17">
        <v>4</v>
      </c>
      <c r="F17" t="s">
        <v>31</v>
      </c>
      <c r="G17" t="s">
        <v>47</v>
      </c>
      <c r="H17">
        <f>WORKDAY(G17,E17-1,Holidays!$A$2:$A$5)</f>
        <v>46057</v>
      </c>
    </row>
    <row r="18" spans="1:9" x14ac:dyDescent="0.3">
      <c r="A18" t="s">
        <v>46</v>
      </c>
      <c r="B18" t="s">
        <v>48</v>
      </c>
      <c r="C18" t="s">
        <v>26</v>
      </c>
      <c r="D18" t="s">
        <v>27</v>
      </c>
      <c r="E18">
        <v>14</v>
      </c>
      <c r="F18" t="s">
        <v>31</v>
      </c>
      <c r="G18" t="s">
        <v>47</v>
      </c>
      <c r="H18">
        <f>WORKDAY(G18,E18-1,Holidays!$A$2:$A$5)</f>
        <v>46071</v>
      </c>
    </row>
    <row r="19" spans="1:9" x14ac:dyDescent="0.3">
      <c r="A19" t="s">
        <v>46</v>
      </c>
      <c r="B19" t="s">
        <v>49</v>
      </c>
      <c r="C19" t="s">
        <v>11</v>
      </c>
      <c r="D19" t="s">
        <v>17</v>
      </c>
      <c r="E19">
        <v>10</v>
      </c>
      <c r="F19" t="s">
        <v>35</v>
      </c>
      <c r="G19" t="s">
        <v>50</v>
      </c>
      <c r="H19">
        <f>WORKDAY(G19,E19-1,Holidays!$A$2:$A$5)</f>
        <v>46079</v>
      </c>
    </row>
    <row r="20" spans="1:9" x14ac:dyDescent="0.3">
      <c r="A20" t="s">
        <v>46</v>
      </c>
      <c r="B20" t="s">
        <v>51</v>
      </c>
      <c r="C20" t="s">
        <v>37</v>
      </c>
      <c r="D20" t="s">
        <v>48</v>
      </c>
      <c r="E20">
        <v>4</v>
      </c>
      <c r="F20" t="s">
        <v>38</v>
      </c>
      <c r="G20" t="s">
        <v>50</v>
      </c>
      <c r="H20">
        <f>WORKDAY(G20,E20-1,Holidays!$A$2:$A$5)</f>
        <v>46071</v>
      </c>
    </row>
    <row r="21" spans="1:9" x14ac:dyDescent="0.3">
      <c r="A21" t="s">
        <v>46</v>
      </c>
      <c r="B21" t="s">
        <v>52</v>
      </c>
      <c r="C21" t="s">
        <v>37</v>
      </c>
      <c r="D21" t="s">
        <v>49</v>
      </c>
      <c r="E21">
        <v>6</v>
      </c>
      <c r="F21" t="s">
        <v>38</v>
      </c>
      <c r="G21" t="s">
        <v>53</v>
      </c>
      <c r="H21">
        <f>WORKDAY(G21,E21-1,Holidays!$A$2:$A$5)</f>
        <v>46080</v>
      </c>
    </row>
    <row r="22" spans="1:9" x14ac:dyDescent="0.3">
      <c r="A22" t="s">
        <v>46</v>
      </c>
      <c r="B22" t="s">
        <v>40</v>
      </c>
      <c r="C22" t="s">
        <v>26</v>
      </c>
      <c r="D22" t="s">
        <v>41</v>
      </c>
      <c r="E22">
        <v>3</v>
      </c>
      <c r="F22" t="s">
        <v>31</v>
      </c>
      <c r="G22" t="s">
        <v>54</v>
      </c>
      <c r="H22">
        <f>WORKDAY(G22,E22-1,Holidays!$A$2:$A$5)</f>
        <v>46084</v>
      </c>
    </row>
    <row r="23" spans="1:9" x14ac:dyDescent="0.3">
      <c r="A23" t="s">
        <v>46</v>
      </c>
      <c r="B23" t="s">
        <v>42</v>
      </c>
      <c r="C23" t="s">
        <v>11</v>
      </c>
      <c r="D23" t="s">
        <v>41</v>
      </c>
      <c r="E23">
        <v>2</v>
      </c>
      <c r="F23" t="s">
        <v>35</v>
      </c>
      <c r="G23" t="s">
        <v>54</v>
      </c>
      <c r="H23">
        <f>WORKDAY(G23,E23-1,Holidays!$A$2:$A$5)</f>
        <v>46083</v>
      </c>
    </row>
    <row r="24" spans="1:9" x14ac:dyDescent="0.3">
      <c r="A24" t="s">
        <v>46</v>
      </c>
      <c r="B24" t="s">
        <v>55</v>
      </c>
      <c r="C24" t="s">
        <v>37</v>
      </c>
      <c r="D24" t="s">
        <v>44</v>
      </c>
      <c r="E24">
        <v>2</v>
      </c>
      <c r="F24" t="s">
        <v>38</v>
      </c>
      <c r="G24" t="s">
        <v>54</v>
      </c>
      <c r="H24">
        <f>WORKDAY(G24,E24-1,Holidays!$A$2:$A$5)</f>
        <v>46083</v>
      </c>
      <c r="I24" t="s">
        <v>56</v>
      </c>
    </row>
    <row r="25" spans="1:9" x14ac:dyDescent="0.3">
      <c r="A25" t="s">
        <v>57</v>
      </c>
      <c r="B25" t="s">
        <v>58</v>
      </c>
      <c r="C25" t="s">
        <v>26</v>
      </c>
      <c r="D25" t="s">
        <v>45</v>
      </c>
      <c r="E25">
        <v>20</v>
      </c>
      <c r="F25" t="s">
        <v>31</v>
      </c>
      <c r="G25" t="s">
        <v>59</v>
      </c>
      <c r="H25">
        <f>WORKDAY(G25,E25-1,Holidays!$A$2:$A$5)</f>
        <v>46091</v>
      </c>
    </row>
    <row r="26" spans="1:9" x14ac:dyDescent="0.3">
      <c r="A26" t="s">
        <v>57</v>
      </c>
      <c r="B26" t="s">
        <v>60</v>
      </c>
      <c r="C26" t="s">
        <v>11</v>
      </c>
      <c r="D26" t="s">
        <v>17</v>
      </c>
      <c r="E26">
        <v>18</v>
      </c>
      <c r="F26" t="s">
        <v>35</v>
      </c>
      <c r="G26" t="s">
        <v>61</v>
      </c>
      <c r="H26">
        <f>WORKDAY(G26,E26-1,Holidays!$A$2:$A$5)</f>
        <v>46099</v>
      </c>
    </row>
    <row r="27" spans="1:9" x14ac:dyDescent="0.3">
      <c r="A27" t="s">
        <v>57</v>
      </c>
      <c r="B27" t="s">
        <v>62</v>
      </c>
      <c r="C27" t="s">
        <v>37</v>
      </c>
      <c r="D27" t="s">
        <v>58</v>
      </c>
      <c r="E27">
        <v>5</v>
      </c>
      <c r="F27" t="s">
        <v>38</v>
      </c>
      <c r="G27" t="s">
        <v>63</v>
      </c>
      <c r="H27">
        <f>WORKDAY(G27,E27-1,Holidays!$A$2:$A$5)</f>
        <v>46092</v>
      </c>
    </row>
    <row r="28" spans="1:9" x14ac:dyDescent="0.3">
      <c r="A28" t="s">
        <v>57</v>
      </c>
      <c r="B28" t="s">
        <v>64</v>
      </c>
      <c r="C28" t="s">
        <v>37</v>
      </c>
      <c r="D28" t="s">
        <v>60</v>
      </c>
      <c r="E28">
        <v>7</v>
      </c>
      <c r="F28" t="s">
        <v>38</v>
      </c>
      <c r="G28" t="s">
        <v>65</v>
      </c>
      <c r="H28">
        <f>WORKDAY(G28,E28-1,Holidays!$A$2:$A$5)</f>
        <v>46100</v>
      </c>
    </row>
    <row r="29" spans="1:9" x14ac:dyDescent="0.3">
      <c r="A29" t="s">
        <v>57</v>
      </c>
      <c r="B29" t="s">
        <v>40</v>
      </c>
      <c r="C29" t="s">
        <v>26</v>
      </c>
      <c r="D29" t="s">
        <v>41</v>
      </c>
      <c r="E29">
        <v>3</v>
      </c>
      <c r="F29" t="s">
        <v>31</v>
      </c>
      <c r="G29" t="s">
        <v>66</v>
      </c>
      <c r="H29">
        <f>WORKDAY(G29,E29-1,Holidays!$A$2:$A$5)</f>
        <v>46105</v>
      </c>
    </row>
    <row r="30" spans="1:9" x14ac:dyDescent="0.3">
      <c r="A30" t="s">
        <v>57</v>
      </c>
      <c r="B30" t="s">
        <v>42</v>
      </c>
      <c r="C30" t="s">
        <v>11</v>
      </c>
      <c r="D30" t="s">
        <v>41</v>
      </c>
      <c r="E30">
        <v>2</v>
      </c>
      <c r="F30" t="s">
        <v>35</v>
      </c>
      <c r="G30" t="s">
        <v>66</v>
      </c>
      <c r="H30">
        <f>WORKDAY(G30,E30-1,Holidays!$A$2:$A$5)</f>
        <v>46104</v>
      </c>
    </row>
    <row r="31" spans="1:9" x14ac:dyDescent="0.3">
      <c r="A31" t="s">
        <v>57</v>
      </c>
      <c r="B31" t="s">
        <v>67</v>
      </c>
      <c r="C31" t="s">
        <v>37</v>
      </c>
      <c r="D31" t="s">
        <v>44</v>
      </c>
      <c r="E31">
        <v>3</v>
      </c>
      <c r="F31" t="s">
        <v>38</v>
      </c>
      <c r="G31" t="s">
        <v>66</v>
      </c>
      <c r="H31">
        <f>WORKDAY(G31,E31-1,Holidays!$A$2:$A$5)</f>
        <v>46105</v>
      </c>
      <c r="I31" t="s">
        <v>68</v>
      </c>
    </row>
    <row r="32" spans="1:9" x14ac:dyDescent="0.3">
      <c r="A32" t="s">
        <v>69</v>
      </c>
      <c r="B32" t="s">
        <v>70</v>
      </c>
      <c r="C32" t="s">
        <v>26</v>
      </c>
      <c r="D32" t="s">
        <v>68</v>
      </c>
      <c r="E32">
        <v>5</v>
      </c>
      <c r="F32" t="s">
        <v>71</v>
      </c>
      <c r="G32" t="s">
        <v>72</v>
      </c>
      <c r="H32">
        <f>WORKDAY(G32,E32-1,Holidays!$A$2:$A$5)</f>
        <v>46119</v>
      </c>
      <c r="I32" t="s">
        <v>73</v>
      </c>
    </row>
    <row r="33" spans="1:9" x14ac:dyDescent="0.3">
      <c r="A33" t="s">
        <v>69</v>
      </c>
      <c r="B33" t="s">
        <v>74</v>
      </c>
      <c r="C33" t="s">
        <v>26</v>
      </c>
      <c r="D33" t="s">
        <v>70</v>
      </c>
      <c r="E33">
        <v>10</v>
      </c>
      <c r="F33" t="s">
        <v>31</v>
      </c>
      <c r="G33" t="s">
        <v>75</v>
      </c>
      <c r="H33">
        <f>WORKDAY(G33,E33-1,Holidays!$A$2:$A$5)</f>
        <v>46129</v>
      </c>
    </row>
    <row r="34" spans="1:9" x14ac:dyDescent="0.3">
      <c r="A34" t="s">
        <v>69</v>
      </c>
      <c r="B34" t="s">
        <v>76</v>
      </c>
      <c r="C34" t="s">
        <v>11</v>
      </c>
      <c r="D34" t="s">
        <v>17</v>
      </c>
      <c r="E34">
        <v>8</v>
      </c>
      <c r="F34" t="s">
        <v>35</v>
      </c>
      <c r="G34" t="s">
        <v>77</v>
      </c>
      <c r="H34">
        <f>WORKDAY(G34,E34-1,Holidays!$A$2:$A$5)</f>
        <v>46126</v>
      </c>
    </row>
    <row r="35" spans="1:9" x14ac:dyDescent="0.3">
      <c r="A35" t="s">
        <v>69</v>
      </c>
      <c r="B35" t="s">
        <v>78</v>
      </c>
      <c r="C35" t="s">
        <v>37</v>
      </c>
      <c r="D35" t="s">
        <v>70</v>
      </c>
      <c r="E35">
        <v>3</v>
      </c>
      <c r="F35" t="s">
        <v>38</v>
      </c>
      <c r="G35" t="s">
        <v>79</v>
      </c>
      <c r="H35">
        <f>WORKDAY(G35,E35-1,Holidays!$A$2:$A$5)</f>
        <v>46119</v>
      </c>
    </row>
    <row r="36" spans="1:9" x14ac:dyDescent="0.3">
      <c r="A36" t="s">
        <v>69</v>
      </c>
      <c r="B36" t="s">
        <v>80</v>
      </c>
      <c r="C36" t="s">
        <v>37</v>
      </c>
      <c r="D36" t="s">
        <v>74</v>
      </c>
      <c r="E36">
        <v>4</v>
      </c>
      <c r="F36" t="s">
        <v>38</v>
      </c>
      <c r="G36" t="s">
        <v>81</v>
      </c>
      <c r="H36">
        <f>WORKDAY(G36,E36-1,Holidays!$A$2:$A$5)</f>
        <v>46134</v>
      </c>
    </row>
    <row r="37" spans="1:9" x14ac:dyDescent="0.3">
      <c r="A37" t="s">
        <v>69</v>
      </c>
      <c r="B37" t="s">
        <v>40</v>
      </c>
      <c r="C37" t="s">
        <v>26</v>
      </c>
      <c r="D37" t="s">
        <v>41</v>
      </c>
      <c r="E37">
        <v>3</v>
      </c>
      <c r="F37" t="s">
        <v>31</v>
      </c>
      <c r="G37" t="s">
        <v>82</v>
      </c>
      <c r="H37">
        <f>WORKDAY(G37,E37-1,Holidays!$A$2:$A$5)</f>
        <v>46140</v>
      </c>
    </row>
    <row r="38" spans="1:9" x14ac:dyDescent="0.3">
      <c r="A38" t="s">
        <v>69</v>
      </c>
      <c r="B38" t="s">
        <v>42</v>
      </c>
      <c r="C38" t="s">
        <v>11</v>
      </c>
      <c r="D38" t="s">
        <v>41</v>
      </c>
      <c r="E38">
        <v>2</v>
      </c>
      <c r="F38" t="s">
        <v>35</v>
      </c>
      <c r="G38" t="s">
        <v>82</v>
      </c>
      <c r="H38">
        <f>WORKDAY(G38,E38-1,Holidays!$A$2:$A$5)</f>
        <v>46139</v>
      </c>
    </row>
    <row r="39" spans="1:9" x14ac:dyDescent="0.3">
      <c r="A39" t="s">
        <v>69</v>
      </c>
      <c r="B39" t="s">
        <v>83</v>
      </c>
      <c r="C39" t="s">
        <v>37</v>
      </c>
      <c r="D39" t="s">
        <v>44</v>
      </c>
      <c r="E39">
        <v>2</v>
      </c>
      <c r="F39" t="s">
        <v>38</v>
      </c>
      <c r="G39" t="s">
        <v>82</v>
      </c>
      <c r="H39">
        <f>WORKDAY(G39,E39-1,Holidays!$A$2:$A$5)</f>
        <v>46139</v>
      </c>
      <c r="I39" t="s">
        <v>84</v>
      </c>
    </row>
    <row r="40" spans="1:9" x14ac:dyDescent="0.3">
      <c r="A40" t="s">
        <v>85</v>
      </c>
      <c r="B40" t="s">
        <v>86</v>
      </c>
      <c r="C40" t="s">
        <v>26</v>
      </c>
      <c r="D40" t="s">
        <v>87</v>
      </c>
      <c r="E40">
        <v>20</v>
      </c>
      <c r="F40" t="s">
        <v>31</v>
      </c>
      <c r="G40" t="s">
        <v>54</v>
      </c>
      <c r="H40">
        <f>WORKDAY(G40,E40-1,Holidays!$A$2:$A$5)</f>
        <v>46108</v>
      </c>
    </row>
    <row r="41" spans="1:9" x14ac:dyDescent="0.3">
      <c r="A41" t="s">
        <v>85</v>
      </c>
      <c r="B41" t="s">
        <v>88</v>
      </c>
      <c r="C41" t="s">
        <v>11</v>
      </c>
      <c r="D41" t="s">
        <v>17</v>
      </c>
      <c r="E41">
        <v>12</v>
      </c>
      <c r="F41" t="s">
        <v>35</v>
      </c>
      <c r="G41" t="s">
        <v>89</v>
      </c>
      <c r="H41">
        <f>WORKDAY(G41,E41-1,Holidays!$A$2:$A$5)</f>
        <v>46111</v>
      </c>
    </row>
    <row r="42" spans="1:9" x14ac:dyDescent="0.3">
      <c r="A42" t="s">
        <v>85</v>
      </c>
      <c r="B42" t="s">
        <v>90</v>
      </c>
      <c r="C42" t="s">
        <v>37</v>
      </c>
      <c r="D42" t="s">
        <v>86</v>
      </c>
      <c r="E42">
        <v>4</v>
      </c>
      <c r="F42" t="s">
        <v>38</v>
      </c>
      <c r="G42" t="s">
        <v>91</v>
      </c>
      <c r="H42">
        <f>WORKDAY(G42,E42-1,Holidays!$A$2:$A$5)</f>
        <v>46106</v>
      </c>
    </row>
    <row r="43" spans="1:9" x14ac:dyDescent="0.3">
      <c r="A43" t="s">
        <v>85</v>
      </c>
      <c r="B43" t="s">
        <v>92</v>
      </c>
      <c r="C43" t="s">
        <v>37</v>
      </c>
      <c r="D43" t="s">
        <v>88</v>
      </c>
      <c r="E43">
        <v>7</v>
      </c>
      <c r="F43" t="s">
        <v>38</v>
      </c>
      <c r="G43" t="s">
        <v>72</v>
      </c>
      <c r="H43">
        <f>WORKDAY(G43,E43-1,Holidays!$A$2:$A$5)</f>
        <v>46121</v>
      </c>
    </row>
    <row r="44" spans="1:9" x14ac:dyDescent="0.3">
      <c r="A44" t="s">
        <v>85</v>
      </c>
      <c r="B44" t="s">
        <v>40</v>
      </c>
      <c r="C44" t="s">
        <v>26</v>
      </c>
      <c r="D44" t="s">
        <v>41</v>
      </c>
      <c r="E44">
        <v>3</v>
      </c>
      <c r="F44" t="s">
        <v>31</v>
      </c>
      <c r="G44" t="s">
        <v>93</v>
      </c>
      <c r="H44">
        <f>WORKDAY(G44,E44-1,Holidays!$A$2:$A$5)</f>
        <v>46126</v>
      </c>
    </row>
    <row r="45" spans="1:9" x14ac:dyDescent="0.3">
      <c r="A45" t="s">
        <v>85</v>
      </c>
      <c r="B45" t="s">
        <v>42</v>
      </c>
      <c r="C45" t="s">
        <v>11</v>
      </c>
      <c r="D45" t="s">
        <v>41</v>
      </c>
      <c r="E45">
        <v>2</v>
      </c>
      <c r="F45" t="s">
        <v>35</v>
      </c>
      <c r="G45" t="s">
        <v>93</v>
      </c>
      <c r="H45">
        <f>WORKDAY(G45,E45-1,Holidays!$A$2:$A$5)</f>
        <v>46125</v>
      </c>
    </row>
    <row r="46" spans="1:9" x14ac:dyDescent="0.3">
      <c r="A46" t="s">
        <v>85</v>
      </c>
      <c r="B46" t="s">
        <v>94</v>
      </c>
      <c r="C46" t="s">
        <v>37</v>
      </c>
      <c r="D46" t="s">
        <v>44</v>
      </c>
      <c r="E46">
        <v>4</v>
      </c>
      <c r="F46" t="s">
        <v>38</v>
      </c>
      <c r="G46" t="s">
        <v>93</v>
      </c>
      <c r="H46">
        <f>WORKDAY(G46,E46-1,Holidays!$A$2:$A$5)</f>
        <v>46127</v>
      </c>
      <c r="I46" t="s">
        <v>95</v>
      </c>
    </row>
    <row r="47" spans="1:9" x14ac:dyDescent="0.3">
      <c r="A47" t="s">
        <v>96</v>
      </c>
      <c r="B47" t="s">
        <v>97</v>
      </c>
      <c r="C47" t="s">
        <v>26</v>
      </c>
      <c r="D47" t="s">
        <v>95</v>
      </c>
      <c r="E47">
        <v>10</v>
      </c>
      <c r="F47" t="s">
        <v>31</v>
      </c>
      <c r="G47" t="s">
        <v>72</v>
      </c>
      <c r="H47">
        <f>WORKDAY(G47,E47-1,Holidays!$A$2:$A$5)</f>
        <v>46126</v>
      </c>
    </row>
    <row r="48" spans="1:9" x14ac:dyDescent="0.3">
      <c r="A48" t="s">
        <v>96</v>
      </c>
      <c r="B48" t="s">
        <v>98</v>
      </c>
      <c r="C48" t="s">
        <v>11</v>
      </c>
      <c r="D48" t="s">
        <v>17</v>
      </c>
      <c r="E48">
        <v>8</v>
      </c>
      <c r="F48" t="s">
        <v>35</v>
      </c>
      <c r="G48" t="s">
        <v>77</v>
      </c>
      <c r="H48">
        <f>WORKDAY(G48,E48-1,Holidays!$A$2:$A$5)</f>
        <v>46126</v>
      </c>
    </row>
    <row r="49" spans="1:9" x14ac:dyDescent="0.3">
      <c r="A49" t="s">
        <v>96</v>
      </c>
      <c r="B49" t="s">
        <v>99</v>
      </c>
      <c r="C49" t="s">
        <v>37</v>
      </c>
      <c r="D49" t="s">
        <v>97</v>
      </c>
      <c r="E49">
        <v>3</v>
      </c>
      <c r="F49" t="s">
        <v>38</v>
      </c>
      <c r="G49" t="s">
        <v>100</v>
      </c>
      <c r="H49">
        <f>WORKDAY(G49,E49-1,Holidays!$A$2:$A$5)</f>
        <v>46126</v>
      </c>
    </row>
    <row r="50" spans="1:9" x14ac:dyDescent="0.3">
      <c r="A50" t="s">
        <v>96</v>
      </c>
      <c r="B50" t="s">
        <v>101</v>
      </c>
      <c r="C50" t="s">
        <v>37</v>
      </c>
      <c r="D50" t="s">
        <v>98</v>
      </c>
      <c r="E50">
        <v>3</v>
      </c>
      <c r="F50" t="s">
        <v>38</v>
      </c>
      <c r="G50" t="s">
        <v>102</v>
      </c>
      <c r="H50">
        <f>WORKDAY(G50,E50-1,Holidays!$A$2:$A$5)</f>
        <v>46132</v>
      </c>
    </row>
    <row r="51" spans="1:9" x14ac:dyDescent="0.3">
      <c r="A51" t="s">
        <v>96</v>
      </c>
      <c r="B51" t="s">
        <v>40</v>
      </c>
      <c r="C51" t="s">
        <v>26</v>
      </c>
      <c r="D51" t="s">
        <v>41</v>
      </c>
      <c r="E51">
        <v>3</v>
      </c>
      <c r="F51" t="s">
        <v>31</v>
      </c>
      <c r="G51" t="s">
        <v>103</v>
      </c>
      <c r="H51">
        <f>WORKDAY(G51,E51-1,Holidays!$A$2:$A$5)</f>
        <v>46135</v>
      </c>
    </row>
    <row r="52" spans="1:9" x14ac:dyDescent="0.3">
      <c r="A52" t="s">
        <v>96</v>
      </c>
      <c r="B52" t="s">
        <v>42</v>
      </c>
      <c r="C52" t="s">
        <v>11</v>
      </c>
      <c r="D52" t="s">
        <v>41</v>
      </c>
      <c r="E52">
        <v>2</v>
      </c>
      <c r="F52" t="s">
        <v>35</v>
      </c>
      <c r="G52" t="s">
        <v>103</v>
      </c>
      <c r="H52">
        <f>WORKDAY(G52,E52-1,Holidays!$A$2:$A$5)</f>
        <v>46134</v>
      </c>
    </row>
    <row r="53" spans="1:9" x14ac:dyDescent="0.3">
      <c r="A53" t="s">
        <v>96</v>
      </c>
      <c r="B53" t="s">
        <v>104</v>
      </c>
      <c r="C53" t="s">
        <v>37</v>
      </c>
      <c r="D53" t="s">
        <v>44</v>
      </c>
      <c r="E53">
        <v>2</v>
      </c>
      <c r="F53" t="s">
        <v>38</v>
      </c>
      <c r="G53" t="s">
        <v>103</v>
      </c>
      <c r="H53">
        <f>WORKDAY(G53,E53-1,Holidays!$A$2:$A$5)</f>
        <v>46134</v>
      </c>
      <c r="I53" t="s">
        <v>105</v>
      </c>
    </row>
    <row r="54" spans="1:9" x14ac:dyDescent="0.3">
      <c r="A54" t="s">
        <v>106</v>
      </c>
      <c r="B54" t="s">
        <v>107</v>
      </c>
      <c r="C54" t="s">
        <v>37</v>
      </c>
      <c r="D54" t="s">
        <v>108</v>
      </c>
      <c r="E54">
        <v>5</v>
      </c>
      <c r="F54" t="s">
        <v>109</v>
      </c>
      <c r="G54" t="s">
        <v>110</v>
      </c>
      <c r="H54">
        <f>WORKDAY(G54,E54-1,Holidays!$A$2:$A$5)</f>
        <v>46153</v>
      </c>
    </row>
    <row r="55" spans="1:9" x14ac:dyDescent="0.3">
      <c r="A55" t="s">
        <v>106</v>
      </c>
      <c r="B55" t="s">
        <v>107</v>
      </c>
      <c r="C55" t="s">
        <v>37</v>
      </c>
      <c r="D55" t="s">
        <v>108</v>
      </c>
      <c r="E55">
        <v>5</v>
      </c>
      <c r="F55" t="s">
        <v>109</v>
      </c>
      <c r="G55" t="s">
        <v>110</v>
      </c>
      <c r="H55">
        <f>WORKDAY(G55,E55-1,Holidays!$A$2:$A$5)</f>
        <v>46153</v>
      </c>
    </row>
    <row r="56" spans="1:9" x14ac:dyDescent="0.3">
      <c r="A56" t="s">
        <v>106</v>
      </c>
      <c r="B56" t="s">
        <v>111</v>
      </c>
      <c r="C56" t="s">
        <v>26</v>
      </c>
      <c r="D56" t="s">
        <v>95</v>
      </c>
      <c r="E56">
        <v>14</v>
      </c>
      <c r="F56" t="s">
        <v>31</v>
      </c>
      <c r="G56" t="s">
        <v>100</v>
      </c>
      <c r="H56">
        <f>WORKDAY(G56,E56-1,Holidays!$A$2:$A$5)</f>
        <v>46141</v>
      </c>
    </row>
    <row r="57" spans="1:9" x14ac:dyDescent="0.3">
      <c r="A57" t="s">
        <v>106</v>
      </c>
      <c r="B57" t="s">
        <v>112</v>
      </c>
      <c r="C57" t="s">
        <v>37</v>
      </c>
      <c r="D57" t="s">
        <v>111</v>
      </c>
      <c r="E57">
        <v>4</v>
      </c>
      <c r="F57" t="s">
        <v>38</v>
      </c>
      <c r="G57" t="s">
        <v>82</v>
      </c>
      <c r="H57">
        <f>WORKDAY(G57,E57-1,Holidays!$A$2:$A$5)</f>
        <v>46141</v>
      </c>
    </row>
    <row r="58" spans="1:9" x14ac:dyDescent="0.3">
      <c r="A58" t="s">
        <v>106</v>
      </c>
      <c r="B58" t="s">
        <v>113</v>
      </c>
      <c r="C58" t="s">
        <v>37</v>
      </c>
      <c r="D58" t="s">
        <v>112</v>
      </c>
      <c r="E58">
        <v>4</v>
      </c>
      <c r="F58" t="s">
        <v>38</v>
      </c>
      <c r="G58" t="s">
        <v>114</v>
      </c>
      <c r="H58">
        <f>WORKDAY(G58,E58-1,Holidays!$A$2:$A$5)</f>
        <v>46148</v>
      </c>
    </row>
    <row r="59" spans="1:9" x14ac:dyDescent="0.3">
      <c r="A59" t="s">
        <v>106</v>
      </c>
      <c r="B59" t="s">
        <v>40</v>
      </c>
      <c r="C59" t="s">
        <v>26</v>
      </c>
      <c r="D59" t="s">
        <v>41</v>
      </c>
      <c r="E59">
        <v>3</v>
      </c>
      <c r="F59" t="s">
        <v>31</v>
      </c>
      <c r="G59" t="s">
        <v>115</v>
      </c>
      <c r="H59">
        <f>WORKDAY(G59,E59-1,Holidays!$A$2:$A$5)</f>
        <v>46153</v>
      </c>
    </row>
    <row r="60" spans="1:9" x14ac:dyDescent="0.3">
      <c r="A60" t="s">
        <v>106</v>
      </c>
      <c r="B60" t="s">
        <v>42</v>
      </c>
      <c r="C60" t="s">
        <v>11</v>
      </c>
      <c r="D60" t="s">
        <v>41</v>
      </c>
      <c r="E60">
        <v>2</v>
      </c>
      <c r="F60" t="s">
        <v>35</v>
      </c>
      <c r="G60" t="s">
        <v>115</v>
      </c>
      <c r="H60">
        <f>WORKDAY(G60,E60-1,Holidays!$A$2:$A$5)</f>
        <v>46150</v>
      </c>
    </row>
    <row r="61" spans="1:9" x14ac:dyDescent="0.3">
      <c r="A61" t="s">
        <v>106</v>
      </c>
      <c r="B61" t="s">
        <v>116</v>
      </c>
      <c r="C61" t="s">
        <v>37</v>
      </c>
      <c r="D61" t="s">
        <v>44</v>
      </c>
      <c r="E61">
        <v>4</v>
      </c>
      <c r="F61" t="s">
        <v>38</v>
      </c>
      <c r="G61" t="s">
        <v>115</v>
      </c>
      <c r="H61">
        <f>WORKDAY(G61,E61-1,Holidays!$A$2:$A$5)</f>
        <v>46154</v>
      </c>
      <c r="I61" t="s">
        <v>117</v>
      </c>
    </row>
    <row r="62" spans="1:9" x14ac:dyDescent="0.3">
      <c r="A62" t="s">
        <v>118</v>
      </c>
      <c r="B62" t="s">
        <v>119</v>
      </c>
      <c r="C62" t="s">
        <v>26</v>
      </c>
      <c r="D62" t="s">
        <v>117</v>
      </c>
      <c r="E62">
        <v>10</v>
      </c>
      <c r="F62" t="s">
        <v>31</v>
      </c>
      <c r="G62" t="s">
        <v>120</v>
      </c>
      <c r="H62">
        <f>WORKDAY(G62,E62-1,Holidays!$A$2:$A$5)</f>
        <v>46140</v>
      </c>
    </row>
    <row r="63" spans="1:9" x14ac:dyDescent="0.3">
      <c r="A63" t="s">
        <v>118</v>
      </c>
      <c r="B63" t="s">
        <v>121</v>
      </c>
      <c r="C63" t="s">
        <v>11</v>
      </c>
      <c r="D63" t="s">
        <v>17</v>
      </c>
      <c r="E63">
        <v>8</v>
      </c>
      <c r="F63" t="s">
        <v>35</v>
      </c>
      <c r="G63" t="s">
        <v>122</v>
      </c>
      <c r="H63">
        <f>WORKDAY(G63,E63-1,Holidays!$A$2:$A$5)</f>
        <v>46140</v>
      </c>
    </row>
    <row r="64" spans="1:9" x14ac:dyDescent="0.3">
      <c r="A64" t="s">
        <v>118</v>
      </c>
      <c r="B64" t="s">
        <v>123</v>
      </c>
      <c r="C64" t="s">
        <v>37</v>
      </c>
      <c r="D64" t="s">
        <v>119</v>
      </c>
      <c r="E64">
        <v>3</v>
      </c>
      <c r="F64" t="s">
        <v>38</v>
      </c>
      <c r="G64" t="s">
        <v>82</v>
      </c>
      <c r="H64">
        <f>WORKDAY(G64,E64-1,Holidays!$A$2:$A$5)</f>
        <v>46140</v>
      </c>
    </row>
    <row r="65" spans="1:9" x14ac:dyDescent="0.3">
      <c r="A65" t="s">
        <v>118</v>
      </c>
      <c r="B65" t="s">
        <v>124</v>
      </c>
      <c r="C65" t="s">
        <v>37</v>
      </c>
      <c r="D65" t="s">
        <v>121</v>
      </c>
      <c r="E65">
        <v>3</v>
      </c>
      <c r="F65" t="s">
        <v>38</v>
      </c>
      <c r="G65" t="s">
        <v>114</v>
      </c>
      <c r="H65">
        <f>WORKDAY(G65,E65-1,Holidays!$A$2:$A$5)</f>
        <v>46147</v>
      </c>
    </row>
    <row r="66" spans="1:9" x14ac:dyDescent="0.3">
      <c r="A66" t="s">
        <v>118</v>
      </c>
      <c r="B66" t="s">
        <v>40</v>
      </c>
      <c r="C66" t="s">
        <v>26</v>
      </c>
      <c r="D66" t="s">
        <v>41</v>
      </c>
      <c r="E66">
        <v>3</v>
      </c>
      <c r="F66" t="s">
        <v>31</v>
      </c>
      <c r="G66" t="s">
        <v>115</v>
      </c>
      <c r="H66">
        <f>WORKDAY(G66,E66-1,Holidays!$A$2:$A$5)</f>
        <v>46153</v>
      </c>
    </row>
    <row r="67" spans="1:9" x14ac:dyDescent="0.3">
      <c r="A67" t="s">
        <v>118</v>
      </c>
      <c r="B67" t="s">
        <v>42</v>
      </c>
      <c r="C67" t="s">
        <v>11</v>
      </c>
      <c r="D67" t="s">
        <v>41</v>
      </c>
      <c r="E67">
        <v>2</v>
      </c>
      <c r="F67" t="s">
        <v>35</v>
      </c>
      <c r="G67" t="s">
        <v>115</v>
      </c>
      <c r="H67">
        <f>WORKDAY(G67,E67-1,Holidays!$A$2:$A$5)</f>
        <v>46150</v>
      </c>
    </row>
    <row r="68" spans="1:9" x14ac:dyDescent="0.3">
      <c r="A68" t="s">
        <v>118</v>
      </c>
      <c r="B68" t="s">
        <v>125</v>
      </c>
      <c r="C68" t="s">
        <v>37</v>
      </c>
      <c r="D68" t="s">
        <v>44</v>
      </c>
      <c r="E68">
        <v>2</v>
      </c>
      <c r="F68" t="s">
        <v>38</v>
      </c>
      <c r="G68" t="s">
        <v>115</v>
      </c>
      <c r="H68">
        <f>WORKDAY(G68,E68-1,Holidays!$A$2:$A$5)</f>
        <v>46150</v>
      </c>
      <c r="I68" t="s">
        <v>126</v>
      </c>
    </row>
    <row r="69" spans="1:9" x14ac:dyDescent="0.3">
      <c r="A69" t="s">
        <v>127</v>
      </c>
      <c r="B69" t="s">
        <v>128</v>
      </c>
      <c r="C69" t="s">
        <v>26</v>
      </c>
      <c r="D69" t="s">
        <v>119</v>
      </c>
      <c r="E69">
        <v>10</v>
      </c>
      <c r="F69" t="s">
        <v>31</v>
      </c>
      <c r="G69" t="s">
        <v>129</v>
      </c>
      <c r="H69">
        <f>WORKDAY(G69,E69-1,Holidays!$A$2:$A$5)</f>
        <v>46146</v>
      </c>
    </row>
    <row r="70" spans="1:9" x14ac:dyDescent="0.3">
      <c r="A70" t="s">
        <v>127</v>
      </c>
      <c r="B70" t="s">
        <v>130</v>
      </c>
      <c r="C70" t="s">
        <v>11</v>
      </c>
      <c r="D70" t="s">
        <v>17</v>
      </c>
      <c r="E70">
        <v>8</v>
      </c>
      <c r="F70" t="s">
        <v>35</v>
      </c>
      <c r="G70" t="s">
        <v>82</v>
      </c>
      <c r="H70">
        <f>WORKDAY(G70,E70-1,Holidays!$A$2:$A$5)</f>
        <v>46148</v>
      </c>
    </row>
    <row r="71" spans="1:9" x14ac:dyDescent="0.3">
      <c r="A71" t="s">
        <v>127</v>
      </c>
      <c r="B71" t="s">
        <v>131</v>
      </c>
      <c r="C71" t="s">
        <v>37</v>
      </c>
      <c r="D71" t="s">
        <v>128</v>
      </c>
      <c r="E71">
        <v>3</v>
      </c>
      <c r="F71" t="s">
        <v>38</v>
      </c>
      <c r="G71" t="s">
        <v>114</v>
      </c>
      <c r="H71">
        <f>WORKDAY(G71,E71-1,Holidays!$A$2:$A$5)</f>
        <v>46147</v>
      </c>
    </row>
    <row r="72" spans="1:9" x14ac:dyDescent="0.3">
      <c r="A72" t="s">
        <v>127</v>
      </c>
      <c r="B72" t="s">
        <v>132</v>
      </c>
      <c r="C72" t="s">
        <v>37</v>
      </c>
      <c r="D72" t="s">
        <v>130</v>
      </c>
      <c r="E72">
        <v>3</v>
      </c>
      <c r="F72" t="s">
        <v>38</v>
      </c>
      <c r="G72" t="s">
        <v>133</v>
      </c>
      <c r="H72">
        <f>WORKDAY(G72,E72-1,Holidays!$A$2:$A$5)</f>
        <v>46150</v>
      </c>
    </row>
    <row r="73" spans="1:9" x14ac:dyDescent="0.3">
      <c r="A73" t="s">
        <v>127</v>
      </c>
      <c r="B73" t="s">
        <v>40</v>
      </c>
      <c r="C73" t="s">
        <v>26</v>
      </c>
      <c r="D73" t="s">
        <v>41</v>
      </c>
      <c r="E73">
        <v>3</v>
      </c>
      <c r="F73" t="s">
        <v>31</v>
      </c>
      <c r="G73" t="s">
        <v>134</v>
      </c>
      <c r="H73">
        <f>WORKDAY(G73,E73-1,Holidays!$A$2:$A$5)</f>
        <v>46155</v>
      </c>
    </row>
    <row r="74" spans="1:9" x14ac:dyDescent="0.3">
      <c r="A74" t="s">
        <v>127</v>
      </c>
      <c r="B74" t="s">
        <v>42</v>
      </c>
      <c r="C74" t="s">
        <v>11</v>
      </c>
      <c r="D74" t="s">
        <v>41</v>
      </c>
      <c r="E74">
        <v>2</v>
      </c>
      <c r="F74" t="s">
        <v>35</v>
      </c>
      <c r="G74" t="s">
        <v>134</v>
      </c>
      <c r="H74">
        <f>WORKDAY(G74,E74-1,Holidays!$A$2:$A$5)</f>
        <v>46154</v>
      </c>
    </row>
    <row r="75" spans="1:9" x14ac:dyDescent="0.3">
      <c r="A75" t="s">
        <v>127</v>
      </c>
      <c r="B75" t="s">
        <v>135</v>
      </c>
      <c r="C75" t="s">
        <v>37</v>
      </c>
      <c r="D75" t="s">
        <v>44</v>
      </c>
      <c r="E75">
        <v>2</v>
      </c>
      <c r="F75" t="s">
        <v>38</v>
      </c>
      <c r="G75" t="s">
        <v>134</v>
      </c>
      <c r="H75">
        <f>WORKDAY(G75,E75-1,Holidays!$A$2:$A$5)</f>
        <v>46154</v>
      </c>
      <c r="I75" t="s">
        <v>136</v>
      </c>
    </row>
    <row r="76" spans="1:9" x14ac:dyDescent="0.3">
      <c r="A76" t="s">
        <v>137</v>
      </c>
      <c r="B76" t="s">
        <v>138</v>
      </c>
      <c r="C76" t="s">
        <v>26</v>
      </c>
      <c r="D76" t="s">
        <v>68</v>
      </c>
      <c r="E76">
        <v>8</v>
      </c>
      <c r="F76" t="s">
        <v>31</v>
      </c>
      <c r="G76" t="s">
        <v>139</v>
      </c>
      <c r="H76">
        <f>WORKDAY(G76,E76-1,Holidays!$A$2:$A$5)</f>
        <v>46168</v>
      </c>
    </row>
    <row r="77" spans="1:9" x14ac:dyDescent="0.3">
      <c r="A77" t="s">
        <v>137</v>
      </c>
      <c r="B77" t="s">
        <v>140</v>
      </c>
      <c r="C77" t="s">
        <v>11</v>
      </c>
      <c r="D77" t="s">
        <v>17</v>
      </c>
      <c r="E77">
        <v>8</v>
      </c>
      <c r="F77" t="s">
        <v>35</v>
      </c>
      <c r="G77" t="s">
        <v>139</v>
      </c>
      <c r="H77">
        <f>WORKDAY(G77,E77-1,Holidays!$A$2:$A$5)</f>
        <v>46168</v>
      </c>
    </row>
    <row r="78" spans="1:9" x14ac:dyDescent="0.3">
      <c r="A78" t="s">
        <v>137</v>
      </c>
      <c r="B78" t="s">
        <v>141</v>
      </c>
      <c r="C78" t="s">
        <v>37</v>
      </c>
      <c r="D78" t="s">
        <v>138</v>
      </c>
      <c r="E78">
        <v>3</v>
      </c>
      <c r="F78" t="s">
        <v>38</v>
      </c>
      <c r="G78" t="s">
        <v>139</v>
      </c>
      <c r="H78">
        <f>WORKDAY(G78,E78-1,Holidays!$A$2:$A$5)</f>
        <v>46161</v>
      </c>
    </row>
    <row r="79" spans="1:9" x14ac:dyDescent="0.3">
      <c r="A79" t="s">
        <v>137</v>
      </c>
      <c r="B79" t="s">
        <v>142</v>
      </c>
      <c r="C79" t="s">
        <v>37</v>
      </c>
      <c r="D79" t="s">
        <v>140</v>
      </c>
      <c r="E79">
        <v>3</v>
      </c>
      <c r="F79" t="s">
        <v>38</v>
      </c>
      <c r="G79" t="s">
        <v>139</v>
      </c>
      <c r="H79">
        <f>WORKDAY(G79,E79-1,Holidays!$A$2:$A$5)</f>
        <v>46161</v>
      </c>
    </row>
    <row r="80" spans="1:9" x14ac:dyDescent="0.3">
      <c r="A80" t="s">
        <v>137</v>
      </c>
      <c r="B80" t="s">
        <v>40</v>
      </c>
      <c r="C80" t="s">
        <v>26</v>
      </c>
      <c r="D80" t="s">
        <v>41</v>
      </c>
      <c r="E80">
        <v>3</v>
      </c>
      <c r="F80" t="s">
        <v>31</v>
      </c>
      <c r="G80" t="s">
        <v>139</v>
      </c>
      <c r="H80">
        <f>WORKDAY(G80,E80-1,Holidays!$A$2:$A$5)</f>
        <v>46161</v>
      </c>
    </row>
    <row r="81" spans="1:9" x14ac:dyDescent="0.3">
      <c r="A81" t="s">
        <v>137</v>
      </c>
      <c r="B81" t="s">
        <v>42</v>
      </c>
      <c r="C81" t="s">
        <v>11</v>
      </c>
      <c r="D81" t="s">
        <v>41</v>
      </c>
      <c r="E81">
        <v>2</v>
      </c>
      <c r="F81" t="s">
        <v>35</v>
      </c>
      <c r="G81" t="s">
        <v>139</v>
      </c>
      <c r="H81">
        <f>WORKDAY(G81,E81-1,Holidays!$A$2:$A$5)</f>
        <v>46160</v>
      </c>
    </row>
    <row r="82" spans="1:9" x14ac:dyDescent="0.3">
      <c r="A82" t="s">
        <v>137</v>
      </c>
      <c r="B82" t="s">
        <v>143</v>
      </c>
      <c r="C82" t="s">
        <v>37</v>
      </c>
      <c r="D82" t="s">
        <v>44</v>
      </c>
      <c r="E82">
        <v>2</v>
      </c>
      <c r="F82" t="s">
        <v>38</v>
      </c>
      <c r="G82" t="s">
        <v>139</v>
      </c>
      <c r="H82">
        <f>WORKDAY(G82,E82-1,Holidays!$A$2:$A$5)</f>
        <v>46160</v>
      </c>
      <c r="I82" t="s">
        <v>144</v>
      </c>
    </row>
    <row r="83" spans="1:9" x14ac:dyDescent="0.3">
      <c r="A83" t="s">
        <v>145</v>
      </c>
      <c r="B83" t="s">
        <v>146</v>
      </c>
      <c r="C83" t="s">
        <v>26</v>
      </c>
      <c r="D83" t="s">
        <v>27</v>
      </c>
      <c r="E83">
        <v>3</v>
      </c>
      <c r="F83" t="s">
        <v>28</v>
      </c>
      <c r="G83" t="s">
        <v>139</v>
      </c>
      <c r="H83">
        <f>WORKDAY(G83,E83-1,Holidays!$A$2:$A$5)</f>
        <v>46161</v>
      </c>
    </row>
    <row r="84" spans="1:9" x14ac:dyDescent="0.3">
      <c r="A84" t="s">
        <v>145</v>
      </c>
      <c r="B84" t="s">
        <v>147</v>
      </c>
      <c r="C84" t="s">
        <v>26</v>
      </c>
      <c r="D84" t="s">
        <v>146</v>
      </c>
      <c r="E84">
        <v>7</v>
      </c>
      <c r="F84" t="s">
        <v>31</v>
      </c>
      <c r="G84" t="s">
        <v>139</v>
      </c>
      <c r="H84">
        <f>WORKDAY(G84,E84-1,Holidays!$A$2:$A$5)</f>
        <v>46167</v>
      </c>
    </row>
    <row r="85" spans="1:9" x14ac:dyDescent="0.3">
      <c r="A85" t="s">
        <v>145</v>
      </c>
      <c r="B85" t="s">
        <v>148</v>
      </c>
      <c r="C85" t="s">
        <v>11</v>
      </c>
      <c r="D85" t="s">
        <v>17</v>
      </c>
      <c r="E85">
        <v>5</v>
      </c>
      <c r="F85" t="s">
        <v>35</v>
      </c>
      <c r="G85" t="s">
        <v>139</v>
      </c>
      <c r="H85">
        <f>WORKDAY(G85,E85-1,Holidays!$A$2:$A$5)</f>
        <v>46163</v>
      </c>
    </row>
    <row r="86" spans="1:9" x14ac:dyDescent="0.3">
      <c r="A86" t="s">
        <v>145</v>
      </c>
      <c r="B86" t="s">
        <v>149</v>
      </c>
      <c r="C86" t="s">
        <v>37</v>
      </c>
      <c r="D86" t="s">
        <v>146</v>
      </c>
      <c r="E86">
        <v>2</v>
      </c>
      <c r="F86" t="s">
        <v>38</v>
      </c>
      <c r="G86" t="s">
        <v>139</v>
      </c>
      <c r="H86">
        <f>WORKDAY(G86,E86-1,Holidays!$A$2:$A$5)</f>
        <v>46160</v>
      </c>
    </row>
    <row r="87" spans="1:9" x14ac:dyDescent="0.3">
      <c r="A87" t="s">
        <v>145</v>
      </c>
      <c r="B87" t="s">
        <v>150</v>
      </c>
      <c r="C87" t="s">
        <v>37</v>
      </c>
      <c r="D87" t="s">
        <v>147</v>
      </c>
      <c r="E87">
        <v>4</v>
      </c>
      <c r="F87" t="s">
        <v>38</v>
      </c>
      <c r="G87" t="s">
        <v>139</v>
      </c>
      <c r="H87">
        <f>WORKDAY(G87,E87-1,Holidays!$A$2:$A$5)</f>
        <v>46162</v>
      </c>
      <c r="I87" t="s">
        <v>151</v>
      </c>
    </row>
    <row r="88" spans="1:9" x14ac:dyDescent="0.3">
      <c r="A88" t="s">
        <v>152</v>
      </c>
      <c r="B88" t="s">
        <v>153</v>
      </c>
      <c r="C88" t="s">
        <v>26</v>
      </c>
      <c r="D88" t="s">
        <v>27</v>
      </c>
      <c r="E88">
        <v>5</v>
      </c>
      <c r="F88" t="s">
        <v>28</v>
      </c>
      <c r="G88" t="s">
        <v>139</v>
      </c>
      <c r="H88">
        <f>WORKDAY(G88,E88-1,Holidays!$A$2:$A$5)</f>
        <v>46163</v>
      </c>
    </row>
    <row r="89" spans="1:9" x14ac:dyDescent="0.3">
      <c r="A89" t="s">
        <v>152</v>
      </c>
      <c r="B89" t="s">
        <v>154</v>
      </c>
      <c r="C89" t="s">
        <v>26</v>
      </c>
      <c r="D89" t="s">
        <v>153</v>
      </c>
      <c r="E89">
        <v>18</v>
      </c>
      <c r="F89" t="s">
        <v>31</v>
      </c>
      <c r="G89" t="s">
        <v>139</v>
      </c>
      <c r="H89">
        <f>WORKDAY(G89,E89-1,Holidays!$A$2:$A$5)</f>
        <v>46182</v>
      </c>
    </row>
    <row r="90" spans="1:9" x14ac:dyDescent="0.3">
      <c r="A90" t="s">
        <v>152</v>
      </c>
      <c r="B90" t="s">
        <v>155</v>
      </c>
      <c r="C90" t="s">
        <v>11</v>
      </c>
      <c r="D90" t="s">
        <v>17</v>
      </c>
      <c r="E90">
        <v>15</v>
      </c>
      <c r="F90" t="s">
        <v>35</v>
      </c>
      <c r="G90" t="s">
        <v>139</v>
      </c>
      <c r="H90">
        <f>WORKDAY(G90,E90-1,Holidays!$A$2:$A$5)</f>
        <v>46177</v>
      </c>
    </row>
    <row r="91" spans="1:9" x14ac:dyDescent="0.3">
      <c r="A91" t="s">
        <v>152</v>
      </c>
      <c r="B91" t="s">
        <v>156</v>
      </c>
      <c r="C91" t="s">
        <v>37</v>
      </c>
      <c r="D91" t="s">
        <v>153</v>
      </c>
      <c r="E91">
        <v>5</v>
      </c>
      <c r="F91" t="s">
        <v>38</v>
      </c>
      <c r="G91" t="s">
        <v>139</v>
      </c>
      <c r="H91">
        <f>WORKDAY(G91,E91-1,Holidays!$A$2:$A$5)</f>
        <v>46163</v>
      </c>
    </row>
    <row r="92" spans="1:9" x14ac:dyDescent="0.3">
      <c r="A92" t="s">
        <v>152</v>
      </c>
      <c r="B92" t="s">
        <v>41</v>
      </c>
      <c r="C92" t="s">
        <v>37</v>
      </c>
      <c r="D92" t="s">
        <v>154</v>
      </c>
      <c r="E92">
        <v>7</v>
      </c>
      <c r="F92" t="s">
        <v>38</v>
      </c>
      <c r="G92" t="s">
        <v>139</v>
      </c>
      <c r="H92">
        <f>WORKDAY(G92,E92-1,Holidays!$A$2:$A$5)</f>
        <v>46167</v>
      </c>
    </row>
    <row r="93" spans="1:9" x14ac:dyDescent="0.3">
      <c r="A93" t="s">
        <v>152</v>
      </c>
      <c r="B93" t="s">
        <v>40</v>
      </c>
      <c r="C93" t="s">
        <v>26</v>
      </c>
      <c r="D93" t="s">
        <v>41</v>
      </c>
      <c r="E93">
        <v>3</v>
      </c>
      <c r="F93" t="s">
        <v>31</v>
      </c>
      <c r="G93" t="s">
        <v>139</v>
      </c>
      <c r="H93">
        <f>WORKDAY(G93,E93-1,Holidays!$A$2:$A$5)</f>
        <v>46161</v>
      </c>
    </row>
    <row r="94" spans="1:9" x14ac:dyDescent="0.3">
      <c r="A94" t="s">
        <v>152</v>
      </c>
      <c r="B94" t="s">
        <v>42</v>
      </c>
      <c r="C94" t="s">
        <v>11</v>
      </c>
      <c r="D94" t="s">
        <v>41</v>
      </c>
      <c r="E94">
        <v>2</v>
      </c>
      <c r="F94" t="s">
        <v>35</v>
      </c>
      <c r="G94" t="s">
        <v>139</v>
      </c>
      <c r="H94">
        <f>WORKDAY(G94,E94-1,Holidays!$A$2:$A$5)</f>
        <v>46160</v>
      </c>
    </row>
    <row r="95" spans="1:9" x14ac:dyDescent="0.3">
      <c r="A95" t="s">
        <v>152</v>
      </c>
      <c r="B95" t="s">
        <v>55</v>
      </c>
      <c r="C95" t="s">
        <v>37</v>
      </c>
      <c r="D95" t="s">
        <v>44</v>
      </c>
      <c r="E95">
        <v>3</v>
      </c>
      <c r="F95" t="s">
        <v>38</v>
      </c>
      <c r="G95" t="s">
        <v>139</v>
      </c>
      <c r="H95">
        <f>WORKDAY(G95,E95-1,Holidays!$A$2:$A$5)</f>
        <v>46161</v>
      </c>
      <c r="I95" t="s">
        <v>157</v>
      </c>
    </row>
    <row r="96" spans="1:9" x14ac:dyDescent="0.3">
      <c r="A96" t="s">
        <v>158</v>
      </c>
      <c r="B96" t="s">
        <v>159</v>
      </c>
      <c r="C96" t="s">
        <v>26</v>
      </c>
      <c r="D96" t="s">
        <v>157</v>
      </c>
      <c r="E96">
        <v>12</v>
      </c>
      <c r="F96" t="s">
        <v>31</v>
      </c>
      <c r="G96" t="s">
        <v>139</v>
      </c>
      <c r="H96">
        <f>WORKDAY(G96,E96-1,Holidays!$A$2:$A$5)</f>
        <v>46174</v>
      </c>
    </row>
    <row r="97" spans="1:9" x14ac:dyDescent="0.3">
      <c r="A97" t="s">
        <v>158</v>
      </c>
      <c r="B97" t="s">
        <v>160</v>
      </c>
      <c r="C97" t="s">
        <v>11</v>
      </c>
      <c r="D97" t="s">
        <v>17</v>
      </c>
      <c r="E97">
        <v>10</v>
      </c>
      <c r="F97" t="s">
        <v>35</v>
      </c>
      <c r="G97" t="s">
        <v>139</v>
      </c>
      <c r="H97">
        <f>WORKDAY(G97,E97-1,Holidays!$A$2:$A$5)</f>
        <v>46170</v>
      </c>
    </row>
    <row r="98" spans="1:9" x14ac:dyDescent="0.3">
      <c r="A98" t="s">
        <v>158</v>
      </c>
      <c r="B98" t="s">
        <v>161</v>
      </c>
      <c r="C98" t="s">
        <v>37</v>
      </c>
      <c r="D98" t="s">
        <v>159</v>
      </c>
      <c r="E98">
        <v>3</v>
      </c>
      <c r="F98" t="s">
        <v>38</v>
      </c>
      <c r="G98" t="s">
        <v>139</v>
      </c>
      <c r="H98">
        <f>WORKDAY(G98,E98-1,Holidays!$A$2:$A$5)</f>
        <v>46161</v>
      </c>
    </row>
    <row r="99" spans="1:9" x14ac:dyDescent="0.3">
      <c r="A99" t="s">
        <v>158</v>
      </c>
      <c r="B99" t="s">
        <v>162</v>
      </c>
      <c r="C99" t="s">
        <v>37</v>
      </c>
      <c r="D99" t="s">
        <v>160</v>
      </c>
      <c r="E99">
        <v>3</v>
      </c>
      <c r="F99" t="s">
        <v>38</v>
      </c>
      <c r="G99" t="s">
        <v>139</v>
      </c>
      <c r="H99">
        <f>WORKDAY(G99,E99-1,Holidays!$A$2:$A$5)</f>
        <v>46161</v>
      </c>
    </row>
    <row r="100" spans="1:9" x14ac:dyDescent="0.3">
      <c r="A100" t="s">
        <v>158</v>
      </c>
      <c r="B100" t="s">
        <v>40</v>
      </c>
      <c r="C100" t="s">
        <v>26</v>
      </c>
      <c r="D100" t="s">
        <v>41</v>
      </c>
      <c r="E100">
        <v>3</v>
      </c>
      <c r="F100" t="s">
        <v>31</v>
      </c>
      <c r="G100" t="s">
        <v>139</v>
      </c>
      <c r="H100">
        <f>WORKDAY(G100,E100-1,Holidays!$A$2:$A$5)</f>
        <v>46161</v>
      </c>
    </row>
    <row r="101" spans="1:9" x14ac:dyDescent="0.3">
      <c r="A101" t="s">
        <v>158</v>
      </c>
      <c r="B101" t="s">
        <v>42</v>
      </c>
      <c r="C101" t="s">
        <v>11</v>
      </c>
      <c r="D101" t="s">
        <v>41</v>
      </c>
      <c r="E101">
        <v>2</v>
      </c>
      <c r="F101" t="s">
        <v>35</v>
      </c>
      <c r="G101" t="s">
        <v>139</v>
      </c>
      <c r="H101">
        <f>WORKDAY(G101,E101-1,Holidays!$A$2:$A$5)</f>
        <v>46160</v>
      </c>
    </row>
    <row r="102" spans="1:9" x14ac:dyDescent="0.3">
      <c r="A102" t="s">
        <v>158</v>
      </c>
      <c r="B102" t="s">
        <v>55</v>
      </c>
      <c r="C102" t="s">
        <v>37</v>
      </c>
      <c r="D102" t="s">
        <v>44</v>
      </c>
      <c r="E102">
        <v>2</v>
      </c>
      <c r="F102" t="s">
        <v>38</v>
      </c>
      <c r="G102" t="s">
        <v>139</v>
      </c>
      <c r="H102">
        <f>WORKDAY(G102,E102-1,Holidays!$A$2:$A$5)</f>
        <v>46160</v>
      </c>
      <c r="I102" t="s">
        <v>163</v>
      </c>
    </row>
    <row r="103" spans="1:9" x14ac:dyDescent="0.3">
      <c r="A103" t="s">
        <v>9</v>
      </c>
      <c r="B103" t="s">
        <v>40</v>
      </c>
      <c r="C103" t="s">
        <v>26</v>
      </c>
      <c r="D103" t="s">
        <v>41</v>
      </c>
      <c r="E103">
        <v>3</v>
      </c>
      <c r="F103" t="s">
        <v>31</v>
      </c>
      <c r="G103" t="s">
        <v>164</v>
      </c>
      <c r="H103">
        <f>WORKDAY(G103,E103-1,Holidays!$A$2:$A$5)</f>
        <v>46041</v>
      </c>
    </row>
    <row r="104" spans="1:9" x14ac:dyDescent="0.3">
      <c r="A104" t="s">
        <v>9</v>
      </c>
      <c r="B104" t="s">
        <v>42</v>
      </c>
      <c r="C104" t="s">
        <v>11</v>
      </c>
      <c r="D104" t="s">
        <v>41</v>
      </c>
      <c r="E104">
        <v>2</v>
      </c>
      <c r="F104" t="s">
        <v>35</v>
      </c>
      <c r="G104" t="s">
        <v>164</v>
      </c>
      <c r="H104">
        <f>WORKDAY(G104,E104-1,Holidays!$A$2:$A$5)</f>
        <v>46038</v>
      </c>
    </row>
    <row r="105" spans="1:9" x14ac:dyDescent="0.3">
      <c r="A105" t="s">
        <v>9</v>
      </c>
      <c r="B105" t="s">
        <v>165</v>
      </c>
      <c r="C105" t="s">
        <v>37</v>
      </c>
      <c r="D105" t="s">
        <v>44</v>
      </c>
      <c r="E105">
        <v>10</v>
      </c>
      <c r="F105" t="s">
        <v>38</v>
      </c>
      <c r="G105" t="s">
        <v>166</v>
      </c>
      <c r="H105">
        <f>WORKDAY(G105,E105-1,Holidays!$A$2:$A$5)</f>
        <v>46171</v>
      </c>
      <c r="I105" t="s">
        <v>167</v>
      </c>
    </row>
    <row r="106" spans="1:9" x14ac:dyDescent="0.3">
      <c r="A106" t="s">
        <v>9</v>
      </c>
      <c r="B106" t="s">
        <v>168</v>
      </c>
      <c r="C106" t="s">
        <v>37</v>
      </c>
      <c r="D106" t="s">
        <v>151</v>
      </c>
      <c r="E106">
        <v>3</v>
      </c>
      <c r="F106" t="s">
        <v>38</v>
      </c>
      <c r="G106" t="s">
        <v>166</v>
      </c>
      <c r="H106">
        <f>WORKDAY(G106,E106-1,Holidays!$A$2:$A$5)</f>
        <v>46162</v>
      </c>
      <c r="I106" t="s">
        <v>169</v>
      </c>
    </row>
    <row r="107" spans="1:9" x14ac:dyDescent="0.3">
      <c r="A107" t="s">
        <v>9</v>
      </c>
      <c r="B107" t="s">
        <v>170</v>
      </c>
      <c r="C107" t="s">
        <v>37</v>
      </c>
      <c r="D107" t="s">
        <v>171</v>
      </c>
      <c r="E107">
        <v>10</v>
      </c>
      <c r="F107" t="s">
        <v>38</v>
      </c>
      <c r="G107" t="s">
        <v>166</v>
      </c>
      <c r="H107">
        <f>WORKDAY(G107,E107-1,Holidays!$A$2:$A$5)</f>
        <v>46171</v>
      </c>
      <c r="I107" t="s">
        <v>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4.4" x14ac:dyDescent="0.3"/>
  <sheetData>
    <row r="1" spans="1:1" x14ac:dyDescent="0.3">
      <c r="A1" t="s">
        <v>173</v>
      </c>
    </row>
    <row r="2" spans="1:1" x14ac:dyDescent="0.3">
      <c r="A2" t="s">
        <v>174</v>
      </c>
    </row>
    <row r="3" spans="1:1" x14ac:dyDescent="0.3">
      <c r="A3" t="s">
        <v>175</v>
      </c>
    </row>
    <row r="4" spans="1:1" x14ac:dyDescent="0.3">
      <c r="A4" t="s">
        <v>176</v>
      </c>
    </row>
    <row r="5" spans="1:1" x14ac:dyDescent="0.3">
      <c r="A5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End-to-End Master Plan</vt:lpstr>
      <vt:lpstr>Holidays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Shrinath Mathane</cp:lastModifiedBy>
  <dcterms:created xsi:type="dcterms:W3CDTF">2026-01-05T06:27:20Z</dcterms:created>
  <dcterms:modified xsi:type="dcterms:W3CDTF">2026-01-05T09:42:45Z</dcterms:modified>
</cp:coreProperties>
</file>